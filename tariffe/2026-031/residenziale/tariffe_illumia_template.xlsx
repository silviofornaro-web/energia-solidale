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/>
  <mc:AlternateContent xmlns:mc="http://schemas.openxmlformats.org/markup-compatibility/2006">
    <mc:Choice Requires="x15">
      <x15ac:absPath xmlns:x15ac="http://schemas.microsoft.com/office/spreadsheetml/2010/11/ac" url="/Users/silviofornaro/Desktop/EnergiaSolidaleLast/"/>
    </mc:Choice>
  </mc:AlternateContent>
  <xr:revisionPtr revIDLastSave="0" documentId="13_ncr:1_{C40A9842-BF7A-AB4C-B159-63FF9EFC5E53}" xr6:coauthVersionLast="47" xr6:coauthVersionMax="47" xr10:uidLastSave="{00000000-0000-0000-0000-000000000000}"/>
  <bookViews>
    <workbookView xWindow="-43400" yWindow="3660" windowWidth="35220" windowHeight="21980" xr2:uid="{00000000-000D-0000-FFFF-FFFF00000000}"/>
  </bookViews>
  <sheets>
    <sheet name="tariffe" sheetId="1" r:id="rId1"/>
    <sheet name="indi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<sst xmlns="http://schemas.openxmlformats.org/spreadsheetml/2006/main" count="118" uniqueCount="46">
  <si>
    <t>commodity</t>
  </si>
  <si>
    <t>offer_type</t>
  </si>
  <si>
    <t>offer_name</t>
  </si>
  <si>
    <t>valid_from</t>
  </si>
  <si>
    <t>valid_to</t>
  </si>
  <si>
    <t>component</t>
  </si>
  <si>
    <t>uom</t>
  </si>
  <si>
    <t>value</t>
  </si>
  <si>
    <t>index_name</t>
  </si>
  <si>
    <t>notes</t>
  </si>
  <si>
    <t>EE</t>
  </si>
  <si>
    <t>VARIABILE</t>
  </si>
  <si>
    <t>LUCE PREMIUM FLEX</t>
  </si>
  <si>
    <t>fee_energia</t>
  </si>
  <si>
    <t>€/kWh</t>
  </si>
  <si>
    <t>PUN</t>
  </si>
  <si>
    <t>ccv_quota_fissa</t>
  </si>
  <si>
    <t>€/anno</t>
  </si>
  <si>
    <t>Ripartito su base mensile</t>
  </si>
  <si>
    <t>ccv_quota_variabile</t>
  </si>
  <si>
    <t>dispbt</t>
  </si>
  <si>
    <t>sbilanciamento</t>
  </si>
  <si>
    <t>FISSA</t>
  </si>
  <si>
    <t>FUTURO SICURO PREMIUM 24</t>
  </si>
  <si>
    <t>prezzo_mono</t>
  </si>
  <si>
    <t>Prezzo monorario</t>
  </si>
  <si>
    <t>prezzo_F1</t>
  </si>
  <si>
    <t>GAS</t>
  </si>
  <si>
    <t>GAS PREMIUM FLEX</t>
  </si>
  <si>
    <t>€/Smc</t>
  </si>
  <si>
    <t>PSV</t>
  </si>
  <si>
    <t>bilanciamento</t>
  </si>
  <si>
    <t>prezzo_fisso</t>
  </si>
  <si>
    <t>post_12mesi_fee</t>
  </si>
  <si>
    <t>period</t>
  </si>
  <si>
    <t>value_eur_per_kwh</t>
  </si>
  <si>
    <t>value_eur_per_smc</t>
  </si>
  <si>
    <t>YYYY-MM</t>
  </si>
  <si>
    <t>Prezzo Luce = PUN Index GME*(1+λ); λ perdite di rete 10%</t>
  </si>
  <si>
    <t>Prezzo Gas = PSV + Fee; coefficiente conversione 0,0117</t>
  </si>
  <si>
    <t>FUTURO SICURO PREMIUM 25</t>
  </si>
  <si>
    <t>prezzo_F2</t>
  </si>
  <si>
    <t>prezzo_F3</t>
  </si>
  <si>
    <t>Prezzo triorario F1</t>
  </si>
  <si>
    <t>Prezzo triorario F2</t>
  </si>
  <si>
    <t>Prezzo triorario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</si>
</sst>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Segoe UI"/>
      <family val="2"/>
    </font>
    <font>
      <sz val="10"/>
      <color theme="1"/>
      <name val="Arial Unicode MS"/>
      <family val="2"/>
      <charset val="12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160" zoomScaleNormal="160" workbookViewId="0">
      <selection activeCell="O6" sqref="O6"/>
    </sheetView>
  </sheetViews>
  <sheetFormatPr baseColWidth="10" defaultColWidth="8.83203125" defaultRowHeight="15" x14ac:dyDescent="0.2"/>
  <cols>
    <col min="2" max="2" width="9.1640625" bestFit="1" customWidth="1"/>
    <col min="3" max="3" width="23.83203125" bestFit="1" customWidth="1"/>
    <col min="4" max="4" width="12.33203125" customWidth="1"/>
    <col min="5" max="5" width="13" customWidth="1"/>
    <col min="6" max="6" width="16.5" bestFit="1" customWidth="1"/>
    <col min="8" max="8" width="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21" x14ac:dyDescent="0.3">
      <c r="A2" t="s">
        <v>10</v>
      </c>
      <c r="B2" t="s">
        <v>11</v>
      </c>
      <c r="C2" t="s">
        <v>12</v>
      </c>
      <c r="D2" s="3">
        <v>46092</v>
      </c>
      <c r="E2" s="3">
        <v>46122</v>
      </c>
      <c r="F2" t="s">
        <v>13</v>
      </c>
      <c r="G2" t="s">
        <v>14</v>
      </c>
      <c r="H2">
        <v>2.5000000000000001E-2</v>
      </c>
      <c r="I2" t="s">
        <v>15</v>
      </c>
      <c r="J2" s="4" t="s">
        <v>38</v>
      </c>
      <c r="O2">
        <f>H2+N18*1.1</f>
        <v>2.5000000000000001E-2</v>
      </c>
    </row>
    <row r="3" spans="1:15" ht="21" x14ac:dyDescent="0.3">
      <c r="A3" t="s">
        <v>10</v>
      </c>
      <c r="B3" t="s">
        <v>11</v>
      </c>
      <c r="C3" t="s">
        <v>12</v>
      </c>
      <c r="D3" s="3">
        <v>46092</v>
      </c>
      <c r="E3" s="3">
        <v>46122</v>
      </c>
      <c r="F3" t="s">
        <v>16</v>
      </c>
      <c r="G3" t="s">
        <v>17</v>
      </c>
      <c r="H3">
        <v>144</v>
      </c>
      <c r="J3" t="s">
        <v>18</v>
      </c>
    </row>
    <row r="4" spans="1:15" ht="21" x14ac:dyDescent="0.3">
      <c r="A4" t="s">
        <v>10</v>
      </c>
      <c r="B4" t="s">
        <v>11</v>
      </c>
      <c r="C4" t="s">
        <v>12</v>
      </c>
      <c r="D4" s="3">
        <v>46092</v>
      </c>
      <c r="E4" s="3">
        <v>46122</v>
      </c>
      <c r="F4" t="s">
        <v>19</v>
      </c>
      <c r="G4" t="s">
        <v>14</v>
      </c>
      <c r="H4">
        <v>1.0999999999999999E-2</v>
      </c>
    </row>
    <row r="5" spans="1:15" ht="21" x14ac:dyDescent="0.3">
      <c r="A5" t="s">
        <v>10</v>
      </c>
      <c r="B5" t="s">
        <v>11</v>
      </c>
      <c r="C5" t="s">
        <v>12</v>
      </c>
      <c r="D5" s="3">
        <v>46092</v>
      </c>
      <c r="E5" s="3">
        <v>46122</v>
      </c>
      <c r="F5" t="s">
        <v>20</v>
      </c>
      <c r="G5" t="s">
        <v>17</v>
      </c>
      <c r="H5">
        <v>1.2311000000000001</v>
      </c>
      <c r="J5" t="s">
        <v>18</v>
      </c>
    </row>
    <row r="6" spans="1:15" ht="21" x14ac:dyDescent="0.3">
      <c r="A6" t="s">
        <v>10</v>
      </c>
      <c r="B6" t="s">
        <v>11</v>
      </c>
      <c r="C6" t="s">
        <v>12</v>
      </c>
      <c r="D6" s="3">
        <v>46092</v>
      </c>
      <c r="E6" s="3">
        <v>46122</v>
      </c>
      <c r="F6" t="s">
        <v>21</v>
      </c>
      <c r="G6" t="s">
        <v>14</v>
      </c>
      <c r="H6">
        <v>5.4999999999999997E-3</v>
      </c>
    </row>
    <row r="7" spans="1:15" ht="21" x14ac:dyDescent="0.3">
      <c r="A7" t="s">
        <v>10</v>
      </c>
      <c r="B7" t="s">
        <v>22</v>
      </c>
      <c r="C7" t="s">
        <v>23</v>
      </c>
      <c r="D7" s="3">
        <v>46092</v>
      </c>
      <c r="E7" s="3">
        <v>46122</v>
      </c>
      <c r="F7" t="s">
        <v>24</v>
      </c>
      <c r="G7" t="s">
        <v>14</v>
      </c>
      <c r="H7">
        <v>0.14499999999999999</v>
      </c>
      <c r="J7" t="s">
        <v>25</v>
      </c>
    </row>
    <row r="8" spans="1:15" ht="21" x14ac:dyDescent="0.3">
      <c r="A8" t="s">
        <v>10</v>
      </c>
      <c r="B8" t="s">
        <v>22</v>
      </c>
      <c r="C8" t="s">
        <v>23</v>
      </c>
      <c r="D8" s="3">
        <v>46092</v>
      </c>
      <c r="E8" s="3">
        <v>46122</v>
      </c>
      <c r="F8" t="s">
        <v>26</v>
      </c>
      <c r="G8" t="s">
        <v>14</v>
      </c>
      <c r="H8">
        <v>0.16500000000000001</v>
      </c>
      <c r="J8" t="s">
        <v>43</v>
      </c>
    </row>
    <row r="9" spans="1:15" ht="21" x14ac:dyDescent="0.3">
      <c r="A9" t="s">
        <v>10</v>
      </c>
      <c r="B9" t="s">
        <v>22</v>
      </c>
      <c r="C9" t="s">
        <v>23</v>
      </c>
      <c r="D9" s="3">
        <v>46092</v>
      </c>
      <c r="E9" s="3">
        <v>46122</v>
      </c>
      <c r="F9" t="s">
        <v>41</v>
      </c>
      <c r="G9" t="s">
        <v>14</v>
      </c>
      <c r="H9">
        <v>0.16500000000000001</v>
      </c>
      <c r="J9" t="s">
        <v>44</v>
      </c>
    </row>
    <row r="10" spans="1:15" ht="21" x14ac:dyDescent="0.3">
      <c r="A10" t="s">
        <v>10</v>
      </c>
      <c r="B10" t="s">
        <v>22</v>
      </c>
      <c r="C10" t="s">
        <v>40</v>
      </c>
      <c r="D10" s="3">
        <v>46092</v>
      </c>
      <c r="E10" s="3">
        <v>46122</v>
      </c>
      <c r="F10" t="s">
        <v>42</v>
      </c>
      <c r="G10" t="s">
        <v>14</v>
      </c>
      <c r="H10">
        <v>0.13100000000000001</v>
      </c>
      <c r="J10" t="s">
        <v>45</v>
      </c>
    </row>
    <row r="11" spans="1:15" ht="21" x14ac:dyDescent="0.3">
      <c r="A11" t="s">
        <v>10</v>
      </c>
      <c r="B11" t="s">
        <v>22</v>
      </c>
      <c r="C11" t="s">
        <v>23</v>
      </c>
      <c r="D11" s="3">
        <v>46092</v>
      </c>
      <c r="E11" s="3">
        <v>46122</v>
      </c>
      <c r="F11" t="s">
        <v>16</v>
      </c>
      <c r="G11" t="s">
        <v>17</v>
      </c>
      <c r="H11">
        <v>168</v>
      </c>
      <c r="J11" t="s">
        <v>18</v>
      </c>
    </row>
    <row r="12" spans="1:15" ht="21" x14ac:dyDescent="0.3">
      <c r="A12" t="s">
        <v>10</v>
      </c>
      <c r="B12" t="s">
        <v>22</v>
      </c>
      <c r="C12" t="s">
        <v>23</v>
      </c>
      <c r="D12" s="3">
        <v>46092</v>
      </c>
      <c r="E12" s="3">
        <v>46122</v>
      </c>
      <c r="F12" t="s">
        <v>20</v>
      </c>
      <c r="G12" t="s">
        <v>17</v>
      </c>
      <c r="H12">
        <v>1.2311000000000001</v>
      </c>
      <c r="J12" t="s">
        <v>18</v>
      </c>
    </row>
    <row r="13" spans="1:15" ht="21" x14ac:dyDescent="0.3">
      <c r="A13" t="s">
        <v>27</v>
      </c>
      <c r="B13" t="s">
        <v>11</v>
      </c>
      <c r="C13" t="s">
        <v>28</v>
      </c>
      <c r="D13" s="3">
        <v>46092</v>
      </c>
      <c r="E13" s="3">
        <v>46122</v>
      </c>
      <c r="F13" t="s">
        <v>13</v>
      </c>
      <c r="G13" t="s">
        <v>29</v>
      </c>
      <c r="H13">
        <v>0.09</v>
      </c>
      <c r="I13" t="s">
        <v>30</v>
      </c>
      <c r="J13" s="2" t="s">
        <v>39</v>
      </c>
    </row>
    <row r="14" spans="1:15" ht="21" x14ac:dyDescent="0.3">
      <c r="A14" t="s">
        <v>27</v>
      </c>
      <c r="B14" t="s">
        <v>11</v>
      </c>
      <c r="C14" t="s">
        <v>28</v>
      </c>
      <c r="D14" s="3">
        <v>46092</v>
      </c>
      <c r="E14" s="3">
        <v>46122</v>
      </c>
      <c r="F14" t="s">
        <v>16</v>
      </c>
      <c r="G14" t="s">
        <v>17</v>
      </c>
      <c r="H14">
        <v>144</v>
      </c>
      <c r="J14" t="s">
        <v>18</v>
      </c>
    </row>
    <row r="15" spans="1:15" ht="21" x14ac:dyDescent="0.3">
      <c r="A15" t="s">
        <v>27</v>
      </c>
      <c r="B15" t="s">
        <v>11</v>
      </c>
      <c r="C15" t="s">
        <v>28</v>
      </c>
      <c r="D15" s="3">
        <v>46092</v>
      </c>
      <c r="E15" s="3">
        <v>46122</v>
      </c>
      <c r="F15" t="s">
        <v>19</v>
      </c>
      <c r="G15" t="s">
        <v>29</v>
      </c>
      <c r="H15">
        <v>0.05</v>
      </c>
    </row>
    <row r="16" spans="1:15" ht="21" x14ac:dyDescent="0.3">
      <c r="A16" t="s">
        <v>27</v>
      </c>
      <c r="B16" t="s">
        <v>11</v>
      </c>
      <c r="C16" t="s">
        <v>28</v>
      </c>
      <c r="D16" s="3">
        <v>46092</v>
      </c>
      <c r="E16" s="3">
        <v>46122</v>
      </c>
      <c r="F16" t="s">
        <v>31</v>
      </c>
      <c r="G16" t="s">
        <v>29</v>
      </c>
      <c r="H16">
        <v>0.05</v>
      </c>
    </row>
    <row r="17" spans="1:7" ht="21" x14ac:dyDescent="0.3">
      <c r="A17" t="s">
        <v>27</v>
      </c>
      <c r="B17" t="s">
        <v>22</v>
      </c>
      <c r="D17" s="3">
        <v>46092</v>
      </c>
      <c r="E17" s="3">
        <v>46122</v>
      </c>
      <c r="F17" t="s">
        <v>32</v>
      </c>
      <c r="G17" t="s">
        <v>29</v>
      </c>
    </row>
    <row r="18" spans="1:7" ht="21" x14ac:dyDescent="0.3">
      <c r="A18" t="s">
        <v>27</v>
      </c>
      <c r="B18" t="s">
        <v>22</v>
      </c>
      <c r="D18" s="3">
        <v>46092</v>
      </c>
      <c r="E18" s="3">
        <v>46122</v>
      </c>
      <c r="F18" t="s">
        <v>16</v>
      </c>
      <c r="G18" t="s">
        <v>17</v>
      </c>
    </row>
    <row r="19" spans="1:7" ht="21" x14ac:dyDescent="0.3">
      <c r="A19" t="s">
        <v>27</v>
      </c>
      <c r="B19" t="s">
        <v>22</v>
      </c>
      <c r="D19" s="3">
        <v>46092</v>
      </c>
      <c r="E19" s="3">
        <v>46122</v>
      </c>
      <c r="F19" t="s">
        <v>33</v>
      </c>
      <c r="G19" t="s">
        <v>29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7" sqref="C7"/>
    </sheetView>
  </sheetViews>
  <sheetFormatPr baseColWidth="10" defaultColWidth="8.83203125" defaultRowHeight="15" x14ac:dyDescent="0.2"/>
  <cols>
    <col min="1" max="5" width="16.1640625" customWidth="1"/>
  </cols>
  <sheetData>
    <row r="1" spans="1:4" x14ac:dyDescent="0.2">
      <c r="A1" s="1" t="s">
        <v>8</v>
      </c>
      <c r="B1" s="1" t="s">
        <v>34</v>
      </c>
      <c r="C1" s="1" t="s">
        <v>35</v>
      </c>
      <c r="D1" s="1" t="s">
        <v>36</v>
      </c>
    </row>
    <row r="2" spans="1:4" x14ac:dyDescent="0.2">
      <c r="A2" t="s">
        <v>15</v>
      </c>
      <c r="B2" t="s">
        <v>37</v>
      </c>
    </row>
    <row r="3" spans="1:4" x14ac:dyDescent="0.2">
      <c r="A3" t="s">
        <v>30</v>
      </c>
      <c r="B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tariffe</vt:lpstr>
      <vt:lpstr>indici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Fornaro</cp:lastModifiedBy>
  <dcterms:created xsi:type="dcterms:W3CDTF">2026-03-18T08:09:12Z</dcterms:created>
  <dcterms:modified xsi:type="dcterms:W3CDTF">2026-03-27T21:07:12Z</dcterms:modified>
</cp:coreProperties>
</file>