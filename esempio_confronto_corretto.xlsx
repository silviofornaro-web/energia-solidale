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silviofornaro/Desktop/EnergiaSolidaleLast/"/>
    </mc:Choice>
  </mc:AlternateContent>
  <xr:revisionPtr revIDLastSave="0" documentId="13_ncr:1_{7948C88B-6558-2A4A-A4F2-7081361C3E38}" xr6:coauthVersionLast="47" xr6:coauthVersionMax="47" xr10:uidLastSave="{00000000-0000-0000-0000-000000000000}"/>
  <bookViews>
    <workbookView xWindow="9280" yWindow="2180" windowWidth="29400" windowHeight="18440" xr2:uid="{00000000-000D-0000-FFFF-FFFF00000000}"/>
  </bookViews>
  <sheets>
    <sheet name="Confron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C12" i="1"/>
  <c r="D7" i="1"/>
  <c r="C13" i="1"/>
  <c r="E14" i="1"/>
  <c r="B14" i="1"/>
  <c r="D8" i="1"/>
  <c r="C8" i="1"/>
  <c r="C7" i="1"/>
  <c r="D12" i="1" l="1"/>
  <c r="C14" i="1"/>
  <c r="D13" i="1"/>
  <c r="D14" i="1" s="1"/>
</calcChain>
</file>

<file path=xl/sharedStrings.xml><?xml version="1.0" encoding="utf-8"?>
<sst xmlns="http://schemas.openxmlformats.org/spreadsheetml/2006/main" count="19" uniqueCount="18">
  <si>
    <t>nome cliente</t>
  </si>
  <si>
    <t>KWH/SMC</t>
  </si>
  <si>
    <t>Voce</t>
  </si>
  <si>
    <t>Bolletta</t>
  </si>
  <si>
    <t>Illumia Variabile</t>
  </si>
  <si>
    <t>Illumia Fissa</t>
  </si>
  <si>
    <t>Vendita consumo</t>
  </si>
  <si>
    <t>Vendita fissa  Luce</t>
  </si>
  <si>
    <t>N.A.</t>
  </si>
  <si>
    <t>Vendita fissa  Gas</t>
  </si>
  <si>
    <t>rete e oneri generali di sistema Consumi</t>
  </si>
  <si>
    <t>rete e oneri generali di sistema Fissa</t>
  </si>
  <si>
    <t>Quota potenza</t>
  </si>
  <si>
    <t>Sconti</t>
  </si>
  <si>
    <t>Ricalcoli / partite pregresse</t>
  </si>
  <si>
    <t>Accise+IVA</t>
  </si>
  <si>
    <t>TOTALE</t>
  </si>
  <si>
    <t>Bonus sociale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</si>
</sst>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43" fontId="0" fillId="0" borderId="0" xfId="1" applyFont="1"/>
    <xf numFmtId="0" fontId="3" fillId="0" borderId="0" xfId="0" applyFont="1"/>
    <xf numFmtId="43" fontId="0" fillId="0" borderId="0" xfId="1" applyFont="1" applyAlignment="1">
      <alignment horizontal="center"/>
    </xf>
    <xf numFmtId="43" fontId="0" fillId="0" borderId="0" xfId="0" applyNumberFormat="1" applyAlignment="1">
      <alignment horizontal="center"/>
    </xf>
    <xf numFmtId="43" fontId="3" fillId="0" borderId="0" xfId="1" applyFont="1" applyAlignment="1">
      <alignment horizontal="center"/>
    </xf>
    <xf numFmtId="43" fontId="0" fillId="0" borderId="0" xfId="0" applyNumberFormat="1"/>
    <xf numFmtId="164" fontId="0" fillId="0" borderId="0" xfId="1" applyNumberFormat="1" applyFont="1" applyAlignment="1">
      <alignment horizontal="center"/>
    </xf>
    <xf numFmtId="0" fontId="4" fillId="0" borderId="0" xfId="0" applyFont="1"/>
  </cellXfs>
  <cellStyles count="2">
    <cellStyle name="Migliaia" xfId="1" builtinId="3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B12" sqref="B12"/>
    </sheetView>
  </sheetViews>
  <sheetFormatPr baseColWidth="10" defaultColWidth="8.83203125" defaultRowHeight="15" x14ac:dyDescent="0.2"/>
  <cols>
    <col min="1" max="1" width="33.33203125" customWidth="1"/>
    <col min="3" max="3" width="17" customWidth="1"/>
    <col min="4" max="4" width="11.5" customWidth="1"/>
  </cols>
  <sheetData>
    <row r="1" spans="1:7" x14ac:dyDescent="0.2">
      <c r="A1" t="s">
        <v>0</v>
      </c>
      <c r="C1" s="2">
        <v>16</v>
      </c>
      <c r="D1" t="s">
        <v>1</v>
      </c>
    </row>
    <row r="3" spans="1:7" x14ac:dyDescent="0.2">
      <c r="A3" s="1" t="s">
        <v>2</v>
      </c>
      <c r="B3" s="1" t="s">
        <v>3</v>
      </c>
      <c r="C3" s="1" t="s">
        <v>4</v>
      </c>
      <c r="D3" s="1" t="s">
        <v>5</v>
      </c>
    </row>
    <row r="4" spans="1:7" x14ac:dyDescent="0.2">
      <c r="A4" t="s">
        <v>6</v>
      </c>
      <c r="B4" s="3">
        <v>8.15</v>
      </c>
      <c r="C4" s="3">
        <v>13.68</v>
      </c>
      <c r="D4" s="3">
        <v>0</v>
      </c>
    </row>
    <row r="5" spans="1:7" x14ac:dyDescent="0.2">
      <c r="A5" t="s">
        <v>7</v>
      </c>
      <c r="B5" s="5" t="s">
        <v>8</v>
      </c>
      <c r="C5" s="5" t="s">
        <v>8</v>
      </c>
      <c r="D5" s="5">
        <v>0</v>
      </c>
    </row>
    <row r="6" spans="1:7" x14ac:dyDescent="0.2">
      <c r="A6" t="s">
        <v>9</v>
      </c>
      <c r="B6" s="5">
        <v>22.5</v>
      </c>
      <c r="C6" s="5">
        <v>24</v>
      </c>
      <c r="D6" s="5">
        <v>0</v>
      </c>
    </row>
    <row r="7" spans="1:7" x14ac:dyDescent="0.2">
      <c r="A7" t="s">
        <v>10</v>
      </c>
      <c r="B7" s="5">
        <v>2.4900000000000002</v>
      </c>
      <c r="C7" s="5">
        <f>B7</f>
        <v>2.4900000000000002</v>
      </c>
      <c r="D7" s="5">
        <f>B7</f>
        <v>2.4900000000000002</v>
      </c>
    </row>
    <row r="8" spans="1:7" x14ac:dyDescent="0.2">
      <c r="A8" t="s">
        <v>11</v>
      </c>
      <c r="B8" s="5">
        <v>11.34</v>
      </c>
      <c r="C8" s="6">
        <f>B8</f>
        <v>11.34</v>
      </c>
      <c r="D8" s="6">
        <f>C8</f>
        <v>11.34</v>
      </c>
    </row>
    <row r="9" spans="1:7" x14ac:dyDescent="0.2">
      <c r="A9" s="10" t="s">
        <v>12</v>
      </c>
      <c r="B9" s="7">
        <v>0</v>
      </c>
      <c r="C9" s="7">
        <v>0</v>
      </c>
      <c r="D9" s="5">
        <v>0</v>
      </c>
      <c r="E9" s="4"/>
      <c r="F9" s="4"/>
    </row>
    <row r="10" spans="1:7" x14ac:dyDescent="0.2">
      <c r="A10" t="s">
        <v>13</v>
      </c>
      <c r="B10" s="5">
        <v>0</v>
      </c>
      <c r="C10" s="5">
        <v>-3</v>
      </c>
      <c r="D10" s="5">
        <v>-3</v>
      </c>
    </row>
    <row r="11" spans="1:7" x14ac:dyDescent="0.2">
      <c r="A11" t="s">
        <v>14</v>
      </c>
      <c r="B11" s="2">
        <v>0</v>
      </c>
      <c r="C11" s="2">
        <v>0</v>
      </c>
      <c r="D11" s="2">
        <v>0</v>
      </c>
    </row>
    <row r="12" spans="1:7" x14ac:dyDescent="0.2">
      <c r="A12" t="s">
        <v>17</v>
      </c>
      <c r="B12" s="5">
        <f>-21.6</f>
        <v>-21.6</v>
      </c>
      <c r="C12" s="5">
        <f>B12</f>
        <v>-21.6</v>
      </c>
      <c r="D12" s="5">
        <f>C12</f>
        <v>-21.6</v>
      </c>
    </row>
    <row r="13" spans="1:7" x14ac:dyDescent="0.2">
      <c r="A13" t="s">
        <v>15</v>
      </c>
      <c r="B13" s="5">
        <v>9.42</v>
      </c>
      <c r="C13" s="9">
        <f>SUM(C4:C12)*B13/SUM(B4:B12)</f>
        <v>11.079204545454544</v>
      </c>
      <c r="D13" s="9">
        <f>SUM(D4:D12)*B13/SUM(B4:B12)</f>
        <v>-4.4341520979020981</v>
      </c>
      <c r="G13" s="8"/>
    </row>
    <row r="14" spans="1:7" x14ac:dyDescent="0.2">
      <c r="A14" s="1" t="s">
        <v>16</v>
      </c>
      <c r="B14" s="5">
        <f>SUM(B4:B13)</f>
        <v>32.300000000000004</v>
      </c>
      <c r="C14" s="5">
        <f t="shared" ref="C14:E14" si="0">SUM(C4:C13)</f>
        <v>37.989204545454548</v>
      </c>
      <c r="D14" s="5">
        <f t="shared" si="0"/>
        <v>-15.204152097902099</v>
      </c>
      <c r="E14" s="5">
        <f t="shared" si="0"/>
        <v>0</v>
      </c>
      <c r="G14" s="8"/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Confronto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Silvio Fornaro</cp:lastModifiedBy>
  <dcterms:created xsi:type="dcterms:W3CDTF">2026-03-18T17:55:42Z</dcterms:created>
  <dcterms:modified xsi:type="dcterms:W3CDTF">2026-04-28T14:17:18Z</dcterms:modified>
</cp:coreProperties>
</file>